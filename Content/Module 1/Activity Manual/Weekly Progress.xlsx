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3" documentId="8_{03AEFFEB-55E7-4A15-91FA-F9AF9B76EA1D}" xr6:coauthVersionLast="47" xr6:coauthVersionMax="47" xr10:uidLastSave="{B36EADE9-5D5E-48B8-B52E-BDC6BFCE1574}"/>
  <bookViews>
    <workbookView xWindow="240" yWindow="105" windowWidth="14805" windowHeight="8010" firstSheet="3" xr2:uid="{00000000-000D-0000-FFFF-FFFF00000000}"/>
  </bookViews>
  <sheets>
    <sheet name="Dataset" sheetId="5" r:id="rId1"/>
    <sheet name="Weekly_Progress" sheetId="1" r:id="rId2"/>
    <sheet name="Summary" sheetId="2" r:id="rId3"/>
    <sheet name="Dashboar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B4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B7" i="3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" i="1"/>
  <c r="H2" i="1"/>
  <c r="F2" i="1" l="1"/>
  <c r="E4" i="3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B8" i="3" s="1"/>
  <c r="B6" i="3" l="1"/>
  <c r="B5" i="3"/>
</calcChain>
</file>

<file path=xl/sharedStrings.xml><?xml version="1.0" encoding="utf-8"?>
<sst xmlns="http://schemas.openxmlformats.org/spreadsheetml/2006/main" count="91" uniqueCount="65">
  <si>
    <t>Student Name</t>
  </si>
  <si>
    <t>Total Classes</t>
  </si>
  <si>
    <t>Classes Attended</t>
  </si>
  <si>
    <t>Skill Score (10)</t>
  </si>
  <si>
    <t>Aman</t>
  </si>
  <si>
    <t>Riya</t>
  </si>
  <si>
    <t>Karan</t>
  </si>
  <si>
    <t>Meena</t>
  </si>
  <si>
    <t>Rahul</t>
  </si>
  <si>
    <t>Sneha</t>
  </si>
  <si>
    <t>Vikram</t>
  </si>
  <si>
    <t>Priya</t>
  </si>
  <si>
    <t>Arjun</t>
  </si>
  <si>
    <t>Neha</t>
  </si>
  <si>
    <t>Rohit</t>
  </si>
  <si>
    <t>Pooja</t>
  </si>
  <si>
    <t>Siddharth</t>
  </si>
  <si>
    <t>Anjali</t>
  </si>
  <si>
    <t>Tarun</t>
  </si>
  <si>
    <t>Lakshmi</t>
  </si>
  <si>
    <t>Deepak</t>
  </si>
  <si>
    <t>Komal</t>
  </si>
  <si>
    <t>Varun</t>
  </si>
  <si>
    <t>Simran</t>
  </si>
  <si>
    <t>Attendance Percentage</t>
  </si>
  <si>
    <t>Attendance Status</t>
  </si>
  <si>
    <t>Skill Improvement</t>
  </si>
  <si>
    <t>Performance Status</t>
  </si>
  <si>
    <t>Summary</t>
  </si>
  <si>
    <t>Class Size</t>
  </si>
  <si>
    <t xml:space="preserve">Total students: 20 </t>
  </si>
  <si>
    <t>📊 Attendance Overview</t>
  </si>
  <si>
    <t xml:space="preserve">Average attendance: ~78% </t>
  </si>
  <si>
    <t>Students below 75% attendance: 7</t>
  </si>
  <si>
    <t xml:space="preserve">Attendance range: 50% – 100% </t>
  </si>
  <si>
    <t xml:space="preserve">Majority of students meet attendance eligibility, but a significant minority (35%) are below the required threshold. </t>
  </si>
  <si>
    <t>🧠 Skill Performance Overview</t>
  </si>
  <si>
    <t xml:space="preserve">Average skill score: ~7 / 10 </t>
  </si>
  <si>
    <t>Students needing skill improvement (Skill &lt; 7): 7</t>
  </si>
  <si>
    <t xml:space="preserve">Skill score range: 3 – 10 </t>
  </si>
  <si>
    <t>⚠️ Risk Analysis</t>
  </si>
  <si>
    <t>High Risk students (Attendance &lt;75% and Skill &lt;7): 7 students</t>
  </si>
  <si>
    <t>All students identified for skill improvement also show low attendance, indicating a strong link between attendance and learning outcomes in this class.</t>
  </si>
  <si>
    <t>🌟 High Performers</t>
  </si>
  <si>
    <r>
      <t xml:space="preserve">Several students demonstrate </t>
    </r>
    <r>
      <rPr>
        <b/>
        <sz val="11"/>
        <color theme="1"/>
        <rFont val="Segoe UI"/>
        <charset val="1"/>
      </rPr>
      <t>excellent outcomes</t>
    </r>
    <r>
      <rPr>
        <sz val="11"/>
        <color theme="1"/>
        <rFont val="Segoe UI"/>
        <charset val="1"/>
      </rPr>
      <t xml:space="preserve">, with </t>
    </r>
    <r>
      <rPr>
        <b/>
        <sz val="11"/>
        <color theme="1"/>
        <rFont val="Segoe UI"/>
        <charset val="1"/>
      </rPr>
      <t>90–100% attendance and skill scores of 8–10</t>
    </r>
    <r>
      <rPr>
        <sz val="11"/>
        <color theme="1"/>
        <rFont val="Segoe UI"/>
        <charset val="1"/>
      </rPr>
      <t>, indicating strong engagement and mastery.</t>
    </r>
  </si>
  <si>
    <t xml:space="preserve">Executive summary </t>
  </si>
  <si>
    <t>Overall class performance is satisfactory, with strong high performers, but targeted intervention is required for a clearly identified high‑risk group primarily impacted by low attendance</t>
  </si>
  <si>
    <t>Class Performance Dashboard</t>
  </si>
  <si>
    <t>Summary Stats</t>
  </si>
  <si>
    <t>Metric</t>
  </si>
  <si>
    <t>Count</t>
  </si>
  <si>
    <t>Stat</t>
  </si>
  <si>
    <t>Value</t>
  </si>
  <si>
    <t>Total Students</t>
  </si>
  <si>
    <t>Average Attendance</t>
  </si>
  <si>
    <t>Eligible Attendance (&gt;=75%)</t>
  </si>
  <si>
    <t>Min Attendance</t>
  </si>
  <si>
    <t>Below 75% Attendance</t>
  </si>
  <si>
    <t>Max Attendance</t>
  </si>
  <si>
    <t>Skill Needs Improvement (&lt;7)</t>
  </si>
  <si>
    <t>Average Skill</t>
  </si>
  <si>
    <t>High Risk (Attendance&lt;75% &amp; Skill&lt;7)</t>
  </si>
  <si>
    <t>Min Skill</t>
  </si>
  <si>
    <t>Max Skill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</si>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</sst>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Segoe UI"/>
      <charset val="1"/>
    </font>
    <font>
      <b/>
      <sz val="11"/>
      <color theme="1"/>
      <name val="Segoe UI"/>
      <charset val="1"/>
    </font>
    <font>
      <b/>
      <sz val="13.5"/>
      <color theme="1"/>
      <name val="Segoe UI"/>
      <charset val="1"/>
    </font>
    <font>
      <sz val="11"/>
      <color theme="1"/>
      <name val="Segoe UI"/>
      <charset val="1"/>
    </font>
    <font>
      <i/>
      <sz val="11"/>
      <color theme="1"/>
      <name val="Segoe UI"/>
      <charset val="1"/>
    </font>
    <font>
      <b/>
      <sz val="16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2"/>
      <name val="Calibri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2" borderId="1" xfId="0" applyFont="1" applyFill="1" applyBorder="1"/>
    <xf numFmtId="0" fontId="8" fillId="0" borderId="1" xfId="0" applyFont="1" applyBorder="1"/>
    <xf numFmtId="10" fontId="8" fillId="0" borderId="1" xfId="0" applyNumberFormat="1" applyFont="1" applyBorder="1"/>
    <xf numFmtId="0" fontId="9" fillId="3" borderId="1" xfId="0" applyFont="1" applyFill="1" applyBorder="1"/>
    <xf numFmtId="0" fontId="8" fillId="5" borderId="2" xfId="0" applyFont="1" applyFill="1" applyBorder="1"/>
    <xf numFmtId="0" fontId="8" fillId="0" borderId="2" xfId="0" applyFont="1" applyBorder="1"/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11" fillId="6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12" fillId="7" borderId="9" xfId="0" applyFont="1" applyFill="1" applyBorder="1"/>
    <xf numFmtId="0" fontId="12" fillId="7" borderId="10" xfId="0" applyFont="1" applyFill="1" applyBorder="1"/>
    <xf numFmtId="0" fontId="0" fillId="8" borderId="9" xfId="0" applyFont="1" applyFill="1" applyBorder="1"/>
    <xf numFmtId="0" fontId="0" fillId="8" borderId="10" xfId="0" applyFont="1" applyFill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546A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Dashboard!$A$4:$A$8</c:f>
              <c:strCache>
                <c:ptCount val="5"/>
                <c:pt idx="0">
                  <c:v>Total Students</c:v>
                </c:pt>
                <c:pt idx="1">
                  <c:v>Eligible Attendance (&gt;=75%)</c:v>
                </c:pt>
                <c:pt idx="2">
                  <c:v>Below 75% Attendance</c:v>
                </c:pt>
                <c:pt idx="3">
                  <c:v>Skill Needs Improvement (&lt;7)</c:v>
                </c:pt>
                <c:pt idx="4">
                  <c:v>High Risk (Attendance&lt;75% &amp; Skill&lt;7)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F-4648-9D5F-2BC9F203BC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2218119"/>
        <c:axId val="1578067975"/>
      </c:barChart>
      <c:catAx>
        <c:axId val="1112218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67975"/>
        <c:crosses val="autoZero"/>
        <c:auto val="1"/>
        <c:lblAlgn val="ctr"/>
        <c:lblOffset val="100"/>
        <c:noMultiLvlLbl val="0"/>
      </c:catAx>
      <c:valAx>
        <c:axId val="1578067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181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3-4856-9F17-925AB19FC5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3-4856-9F17-925AB19FC5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Dashboard!$A$5:$A$6</c:f>
              <c:strCache>
                <c:ptCount val="2"/>
                <c:pt idx="0">
                  <c:v>Eligible Attendance (&gt;=75%)</c:v>
                </c:pt>
                <c:pt idx="1">
                  <c:v>Below 75% Attendance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13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5-4459-A0B1-17F05FCEB7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161925</xdr:rowOff>
    </xdr:from>
    <xdr:to>
      <xdr:col>1</xdr:col>
      <xdr:colOff>1962150</xdr:colOff>
      <xdr:row>25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E3BD3F-BB9F-9BD3-1F41-B31285F41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3086100</xdr:colOff>
      <xdr:row>10</xdr:row>
      <xdr:rowOff>171450</xdr:rowOff>
    </xdr:from>
    <xdr:to>
      <xdr:col>8</xdr:col>
      <xdr:colOff>228600</xdr:colOff>
      <xdr:row>25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4349F2-9EDF-F7AF-5A22-412B233710DA}"/>
            </a:ext>
            <a:ext uri="{147F2762-F138-4A5C-976F-8EAC2B608ADB}">
              <a16:predDERef xmlns:a16="http://schemas.microsoft.com/office/drawing/2014/main" pred="{AFE3BD3F-BB9F-9BD3-1F41-B31285F41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E0CCF-1BD6-4E3D-9AD9-64CFFC43C240}" name="Students" displayName="Students" ref="A1:H21" totalsRowShown="0" headerRowDxfId="4">
  <autoFilter ref="A1:H21" xr:uid="{D2BE0CCF-1BD6-4E3D-9AD9-64CFFC43C240}"/>
  <tableColumns count="8">
    <tableColumn id="1" xr3:uid="{E0EEAFE0-B47C-4B70-BF63-9A8BDD3CFD75}" name="Student Name"/>
    <tableColumn id="2" xr3:uid="{9886B832-E60F-4BF5-AE42-119F280E839F}" name="Total Classes"/>
    <tableColumn id="3" xr3:uid="{A2A561C6-CC7D-4055-B72D-74C1FCC9420A}" name="Classes Attended"/>
    <tableColumn id="4" xr3:uid="{1CC3F56B-2C11-44CD-94C0-BF05EADB2033}" name="Skill Score (10)"/>
    <tableColumn id="5" xr3:uid="{ECD20199-A7C4-48BF-A29F-698450CB1768}" name="Attendance Percentage" dataDxfId="3">
      <calculatedColumnFormula>Students[[#This Row],[Classes Attended]]/Students[[#This Row],[Total Classes]]</calculatedColumnFormula>
    </tableColumn>
    <tableColumn id="6" xr3:uid="{7093E7D8-02A9-4230-BFDD-77A04173B63C}" name="Attendance Status" dataDxfId="2">
      <calculatedColumnFormula>IF(Students[[#This Row],[Attendance Percentage]]&lt;0.75,"Not Eligible(Below 75%)","Eligible")</calculatedColumnFormula>
    </tableColumn>
    <tableColumn id="7" xr3:uid="{F343D324-6F87-49EF-8FB2-20B9D2D4F698}" name="Skill Improvement" dataDxfId="1">
      <calculatedColumnFormula>IF(Students[[#This Row],[Skill Score (10)]]&lt;7,"Needs Improvement","Not Needed")</calculatedColumnFormula>
    </tableColumn>
    <tableColumn id="8" xr3:uid="{C885F48F-E98A-41A4-BE42-2CFD4D96AFF7}" name="Performance Status" dataDxfId="0">
      <calculatedColumnFormula>IF(AND(Students[[#This Row],[Attendance Percentage]]&lt;0.75,Students[[#This Row],[Skill Score (10)]]&lt;7),"High Risk","OK")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8096-B469-4D58-84D7-17A424F95946}">
  <dimension ref="A1:D21"/>
  <sheetViews>
    <sheetView tabSelected="1" workbookViewId="0">
      <selection activeCell="G6" sqref="G6"/>
    </sheetView>
  </sheetViews>
  <sheetFormatPr defaultRowHeight="15"/>
  <cols>
    <col min="1" max="1" width="14.140625" bestFit="1" customWidth="1"/>
    <col min="2" max="2" width="12.5703125" bestFit="1" customWidth="1"/>
    <col min="3" max="3" width="21.140625" customWidth="1"/>
    <col min="4" max="4" width="17.28515625" customWidth="1"/>
  </cols>
  <sheetData>
    <row r="1" spans="1:4">
      <c r="A1" s="29" t="s">
        <v>0</v>
      </c>
      <c r="B1" s="30" t="s">
        <v>1</v>
      </c>
      <c r="C1" s="30" t="s">
        <v>2</v>
      </c>
      <c r="D1" s="30" t="s">
        <v>3</v>
      </c>
    </row>
    <row r="2" spans="1:4">
      <c r="A2" s="31" t="s">
        <v>4</v>
      </c>
      <c r="B2" s="18">
        <v>22</v>
      </c>
      <c r="C2" s="18">
        <v>20</v>
      </c>
      <c r="D2" s="32">
        <v>8</v>
      </c>
    </row>
    <row r="3" spans="1:4">
      <c r="A3" s="33" t="s">
        <v>5</v>
      </c>
      <c r="B3" s="19">
        <v>22</v>
      </c>
      <c r="C3" s="19">
        <v>16</v>
      </c>
      <c r="D3" s="34">
        <v>6</v>
      </c>
    </row>
    <row r="4" spans="1:4">
      <c r="A4" s="31" t="s">
        <v>6</v>
      </c>
      <c r="B4" s="18">
        <v>22</v>
      </c>
      <c r="C4" s="18">
        <v>21</v>
      </c>
      <c r="D4" s="32">
        <v>9</v>
      </c>
    </row>
    <row r="5" spans="1:4">
      <c r="A5" s="33" t="s">
        <v>7</v>
      </c>
      <c r="B5" s="19">
        <v>22</v>
      </c>
      <c r="C5" s="19">
        <v>14</v>
      </c>
      <c r="D5" s="34">
        <v>5</v>
      </c>
    </row>
    <row r="6" spans="1:4">
      <c r="A6" s="31" t="s">
        <v>8</v>
      </c>
      <c r="B6" s="18">
        <v>22</v>
      </c>
      <c r="C6" s="18">
        <v>18</v>
      </c>
      <c r="D6" s="32">
        <v>7</v>
      </c>
    </row>
    <row r="7" spans="1:4">
      <c r="A7" s="33" t="s">
        <v>9</v>
      </c>
      <c r="B7" s="19">
        <v>22</v>
      </c>
      <c r="C7" s="19">
        <v>19</v>
      </c>
      <c r="D7" s="34">
        <v>8</v>
      </c>
    </row>
    <row r="8" spans="1:4">
      <c r="A8" s="31" t="s">
        <v>10</v>
      </c>
      <c r="B8" s="18">
        <v>22</v>
      </c>
      <c r="C8" s="18">
        <v>21</v>
      </c>
      <c r="D8" s="32">
        <v>7</v>
      </c>
    </row>
    <row r="9" spans="1:4">
      <c r="A9" s="33" t="s">
        <v>11</v>
      </c>
      <c r="B9" s="19">
        <v>22</v>
      </c>
      <c r="C9" s="19">
        <v>22</v>
      </c>
      <c r="D9" s="34">
        <v>10</v>
      </c>
    </row>
    <row r="10" spans="1:4">
      <c r="A10" s="31" t="s">
        <v>12</v>
      </c>
      <c r="B10" s="18">
        <v>22</v>
      </c>
      <c r="C10" s="18">
        <v>15</v>
      </c>
      <c r="D10" s="32">
        <v>6</v>
      </c>
    </row>
    <row r="11" spans="1:4">
      <c r="A11" s="33" t="s">
        <v>13</v>
      </c>
      <c r="B11" s="19">
        <v>22</v>
      </c>
      <c r="C11" s="19">
        <v>20</v>
      </c>
      <c r="D11" s="34">
        <v>8</v>
      </c>
    </row>
    <row r="12" spans="1:4">
      <c r="A12" s="31" t="s">
        <v>14</v>
      </c>
      <c r="B12" s="18">
        <v>22</v>
      </c>
      <c r="C12" s="18">
        <v>18</v>
      </c>
      <c r="D12" s="32">
        <v>7</v>
      </c>
    </row>
    <row r="13" spans="1:4">
      <c r="A13" s="33" t="s">
        <v>15</v>
      </c>
      <c r="B13" s="19">
        <v>22</v>
      </c>
      <c r="C13" s="19">
        <v>13</v>
      </c>
      <c r="D13" s="34">
        <v>4</v>
      </c>
    </row>
    <row r="14" spans="1:4">
      <c r="A14" s="31" t="s">
        <v>16</v>
      </c>
      <c r="B14" s="18">
        <v>22</v>
      </c>
      <c r="C14" s="18">
        <v>21</v>
      </c>
      <c r="D14" s="32">
        <v>9</v>
      </c>
    </row>
    <row r="15" spans="1:4">
      <c r="A15" s="33" t="s">
        <v>17</v>
      </c>
      <c r="B15" s="19">
        <v>22</v>
      </c>
      <c r="C15" s="19">
        <v>16</v>
      </c>
      <c r="D15" s="34">
        <v>6</v>
      </c>
    </row>
    <row r="16" spans="1:4">
      <c r="A16" s="31" t="s">
        <v>18</v>
      </c>
      <c r="B16" s="18">
        <v>22</v>
      </c>
      <c r="C16" s="18">
        <v>19</v>
      </c>
      <c r="D16" s="32">
        <v>8</v>
      </c>
    </row>
    <row r="17" spans="1:4">
      <c r="A17" s="33" t="s">
        <v>19</v>
      </c>
      <c r="B17" s="19">
        <v>22</v>
      </c>
      <c r="C17" s="19">
        <v>22</v>
      </c>
      <c r="D17" s="34">
        <v>10</v>
      </c>
    </row>
    <row r="18" spans="1:4">
      <c r="A18" s="31" t="s">
        <v>20</v>
      </c>
      <c r="B18" s="18">
        <v>22</v>
      </c>
      <c r="C18" s="18">
        <v>12</v>
      </c>
      <c r="D18" s="32">
        <v>3</v>
      </c>
    </row>
    <row r="19" spans="1:4">
      <c r="A19" s="33" t="s">
        <v>21</v>
      </c>
      <c r="B19" s="19">
        <v>22</v>
      </c>
      <c r="C19" s="19">
        <v>17</v>
      </c>
      <c r="D19" s="34">
        <v>7</v>
      </c>
    </row>
    <row r="20" spans="1:4">
      <c r="A20" s="31" t="s">
        <v>22</v>
      </c>
      <c r="B20" s="18">
        <v>22</v>
      </c>
      <c r="C20" s="18">
        <v>18</v>
      </c>
      <c r="D20" s="32">
        <v>8</v>
      </c>
    </row>
    <row r="21" spans="1:4">
      <c r="A21" s="33" t="s">
        <v>23</v>
      </c>
      <c r="B21" s="19">
        <v>22</v>
      </c>
      <c r="C21" s="19">
        <v>12</v>
      </c>
      <c r="D21" s="3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opLeftCell="A3" workbookViewId="0">
      <selection activeCell="A29" sqref="A29"/>
    </sheetView>
  </sheetViews>
  <sheetFormatPr defaultRowHeight="15"/>
  <cols>
    <col min="1" max="1" width="21.85546875" style="1" customWidth="1"/>
    <col min="2" max="2" width="17.42578125" style="1" customWidth="1"/>
    <col min="3" max="4" width="24.85546875" style="1" customWidth="1"/>
    <col min="5" max="5" width="24.7109375" style="3" customWidth="1"/>
    <col min="6" max="6" width="22.5703125" customWidth="1"/>
    <col min="7" max="7" width="20.85546875" customWidth="1"/>
    <col min="8" max="8" width="19.85546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4" t="s">
        <v>24</v>
      </c>
      <c r="F1" s="2" t="s">
        <v>25</v>
      </c>
      <c r="G1" s="2" t="s">
        <v>26</v>
      </c>
      <c r="H1" s="2" t="s">
        <v>27</v>
      </c>
    </row>
    <row r="2" spans="1:8">
      <c r="A2" t="s">
        <v>4</v>
      </c>
      <c r="B2" s="18">
        <v>22</v>
      </c>
      <c r="C2" s="18">
        <v>20</v>
      </c>
      <c r="D2">
        <v>8</v>
      </c>
      <c r="E2" s="3">
        <f>Students[[#This Row],[Classes Attended]]/Students[[#This Row],[Total Classes]]</f>
        <v>0.90909090909090906</v>
      </c>
      <c r="F2" t="str">
        <f>IF(Students[[#This Row],[Attendance Percentage]]&lt;0.75,"Not Eligible(Below 75%)","Eligible")</f>
        <v>Eligible</v>
      </c>
      <c r="G2" t="str">
        <f>IF(Students[[#This Row],[Skill Score (10)]]&lt;7,"Needs Improvement","Not Needed")</f>
        <v>Not Needed</v>
      </c>
      <c r="H2" t="str">
        <f>IF(AND(Students[[#This Row],[Attendance Percentage]]&lt;0.75,Students[[#This Row],[Skill Score (10)]]&lt;7),"High Risk","OK")</f>
        <v>OK</v>
      </c>
    </row>
    <row r="3" spans="1:8">
      <c r="A3" t="s">
        <v>5</v>
      </c>
      <c r="B3" s="19">
        <v>22</v>
      </c>
      <c r="C3" s="19">
        <v>16</v>
      </c>
      <c r="D3">
        <v>6</v>
      </c>
      <c r="E3" s="3">
        <f>Students[[#This Row],[Classes Attended]]/Students[[#This Row],[Total Classes]]</f>
        <v>0.72727272727272729</v>
      </c>
      <c r="F3" t="str">
        <f>IF(Students[[#This Row],[Attendance Percentage]]&lt;0.75,"Not Eligible(Below 75%)","Eligible")</f>
        <v>Not Eligible(Below 75%)</v>
      </c>
      <c r="G3" t="str">
        <f>IF(Students[[#This Row],[Skill Score (10)]]&lt;7,"Needs Improvement","Not Needed")</f>
        <v>Needs Improvement</v>
      </c>
      <c r="H3" t="str">
        <f>IF(AND(Students[[#This Row],[Attendance Percentage]]&lt;0.75,Students[[#This Row],[Skill Score (10)]]&lt;7),"High Risk","OK")</f>
        <v>High Risk</v>
      </c>
    </row>
    <row r="4" spans="1:8">
      <c r="A4" t="s">
        <v>6</v>
      </c>
      <c r="B4" s="18">
        <v>22</v>
      </c>
      <c r="C4" s="18">
        <v>21</v>
      </c>
      <c r="D4">
        <v>9</v>
      </c>
      <c r="E4" s="3">
        <f>Students[[#This Row],[Classes Attended]]/Students[[#This Row],[Total Classes]]</f>
        <v>0.95454545454545459</v>
      </c>
      <c r="F4" t="str">
        <f>IF(Students[[#This Row],[Attendance Percentage]]&lt;0.75,"Not Eligible(Below 75%)","Eligible")</f>
        <v>Eligible</v>
      </c>
      <c r="G4" t="str">
        <f>IF(Students[[#This Row],[Skill Score (10)]]&lt;7,"Needs Improvement","Not Needed")</f>
        <v>Not Needed</v>
      </c>
      <c r="H4" t="str">
        <f>IF(AND(Students[[#This Row],[Attendance Percentage]]&lt;0.75,Students[[#This Row],[Skill Score (10)]]&lt;7),"High Risk","OK")</f>
        <v>OK</v>
      </c>
    </row>
    <row r="5" spans="1:8">
      <c r="A5" t="s">
        <v>7</v>
      </c>
      <c r="B5" s="19">
        <v>22</v>
      </c>
      <c r="C5" s="19">
        <v>14</v>
      </c>
      <c r="D5">
        <v>5</v>
      </c>
      <c r="E5" s="3">
        <f>Students[[#This Row],[Classes Attended]]/Students[[#This Row],[Total Classes]]</f>
        <v>0.63636363636363635</v>
      </c>
      <c r="F5" t="str">
        <f>IF(Students[[#This Row],[Attendance Percentage]]&lt;0.75,"Not Eligible(Below 75%)","Eligible")</f>
        <v>Not Eligible(Below 75%)</v>
      </c>
      <c r="G5" t="str">
        <f>IF(Students[[#This Row],[Skill Score (10)]]&lt;7,"Needs Improvement","Not Needed")</f>
        <v>Needs Improvement</v>
      </c>
      <c r="H5" t="str">
        <f>IF(AND(Students[[#This Row],[Attendance Percentage]]&lt;0.75,Students[[#This Row],[Skill Score (10)]]&lt;7),"High Risk","OK")</f>
        <v>High Risk</v>
      </c>
    </row>
    <row r="6" spans="1:8">
      <c r="A6" t="s">
        <v>8</v>
      </c>
      <c r="B6" s="18">
        <v>22</v>
      </c>
      <c r="C6" s="18">
        <v>18</v>
      </c>
      <c r="D6">
        <v>7</v>
      </c>
      <c r="E6" s="3">
        <f>Students[[#This Row],[Classes Attended]]/Students[[#This Row],[Total Classes]]</f>
        <v>0.81818181818181823</v>
      </c>
      <c r="F6" t="str">
        <f>IF(Students[[#This Row],[Attendance Percentage]]&lt;0.75,"Not Eligible(Below 75%)","Eligible")</f>
        <v>Eligible</v>
      </c>
      <c r="G6" t="str">
        <f>IF(Students[[#This Row],[Skill Score (10)]]&lt;7,"Needs Improvement","Not Needed")</f>
        <v>Not Needed</v>
      </c>
      <c r="H6" t="str">
        <f>IF(AND(Students[[#This Row],[Attendance Percentage]]&lt;0.75,Students[[#This Row],[Skill Score (10)]]&lt;7),"High Risk","OK")</f>
        <v>OK</v>
      </c>
    </row>
    <row r="7" spans="1:8">
      <c r="A7" t="s">
        <v>9</v>
      </c>
      <c r="B7" s="19">
        <v>22</v>
      </c>
      <c r="C7" s="19">
        <v>19</v>
      </c>
      <c r="D7">
        <v>8</v>
      </c>
      <c r="E7" s="3">
        <f>Students[[#This Row],[Classes Attended]]/Students[[#This Row],[Total Classes]]</f>
        <v>0.86363636363636365</v>
      </c>
      <c r="F7" t="str">
        <f>IF(Students[[#This Row],[Attendance Percentage]]&lt;0.75,"Not Eligible(Below 75%)","Eligible")</f>
        <v>Eligible</v>
      </c>
      <c r="G7" t="str">
        <f>IF(Students[[#This Row],[Skill Score (10)]]&lt;7,"Needs Improvement","Not Needed")</f>
        <v>Not Needed</v>
      </c>
      <c r="H7" t="str">
        <f>IF(AND(Students[[#This Row],[Attendance Percentage]]&lt;0.75,Students[[#This Row],[Skill Score (10)]]&lt;7),"High Risk","OK")</f>
        <v>OK</v>
      </c>
    </row>
    <row r="8" spans="1:8">
      <c r="A8" t="s">
        <v>10</v>
      </c>
      <c r="B8" s="18">
        <v>22</v>
      </c>
      <c r="C8" s="18">
        <v>21</v>
      </c>
      <c r="D8">
        <v>7</v>
      </c>
      <c r="E8" s="3">
        <f>Students[[#This Row],[Classes Attended]]/Students[[#This Row],[Total Classes]]</f>
        <v>0.95454545454545459</v>
      </c>
      <c r="F8" t="str">
        <f>IF(Students[[#This Row],[Attendance Percentage]]&lt;0.75,"Not Eligible(Below 75%)","Eligible")</f>
        <v>Eligible</v>
      </c>
      <c r="G8" t="str">
        <f>IF(Students[[#This Row],[Skill Score (10)]]&lt;7,"Needs Improvement","Not Needed")</f>
        <v>Not Needed</v>
      </c>
      <c r="H8" t="str">
        <f>IF(AND(Students[[#This Row],[Attendance Percentage]]&lt;0.75,Students[[#This Row],[Skill Score (10)]]&lt;7),"High Risk","OK")</f>
        <v>OK</v>
      </c>
    </row>
    <row r="9" spans="1:8">
      <c r="A9" t="s">
        <v>11</v>
      </c>
      <c r="B9" s="19">
        <v>22</v>
      </c>
      <c r="C9" s="19">
        <v>22</v>
      </c>
      <c r="D9">
        <v>10</v>
      </c>
      <c r="E9" s="3">
        <f>Students[[#This Row],[Classes Attended]]/Students[[#This Row],[Total Classes]]</f>
        <v>1</v>
      </c>
      <c r="F9" t="str">
        <f>IF(Students[[#This Row],[Attendance Percentage]]&lt;0.75,"Not Eligible(Below 75%)","Eligible")</f>
        <v>Eligible</v>
      </c>
      <c r="G9" t="str">
        <f>IF(Students[[#This Row],[Skill Score (10)]]&lt;7,"Needs Improvement","Not Needed")</f>
        <v>Not Needed</v>
      </c>
      <c r="H9" t="str">
        <f>IF(AND(Students[[#This Row],[Attendance Percentage]]&lt;0.75,Students[[#This Row],[Skill Score (10)]]&lt;7),"High Risk","OK")</f>
        <v>OK</v>
      </c>
    </row>
    <row r="10" spans="1:8">
      <c r="A10" t="s">
        <v>12</v>
      </c>
      <c r="B10" s="18">
        <v>22</v>
      </c>
      <c r="C10" s="18">
        <v>15</v>
      </c>
      <c r="D10">
        <v>6</v>
      </c>
      <c r="E10" s="3">
        <f>Students[[#This Row],[Classes Attended]]/Students[[#This Row],[Total Classes]]</f>
        <v>0.68181818181818177</v>
      </c>
      <c r="F10" t="str">
        <f>IF(Students[[#This Row],[Attendance Percentage]]&lt;0.75,"Not Eligible(Below 75%)","Eligible")</f>
        <v>Not Eligible(Below 75%)</v>
      </c>
      <c r="G10" t="str">
        <f>IF(Students[[#This Row],[Skill Score (10)]]&lt;7,"Needs Improvement","Not Needed")</f>
        <v>Needs Improvement</v>
      </c>
      <c r="H10" t="str">
        <f>IF(AND(Students[[#This Row],[Attendance Percentage]]&lt;0.75,Students[[#This Row],[Skill Score (10)]]&lt;7),"High Risk","OK")</f>
        <v>High Risk</v>
      </c>
    </row>
    <row r="11" spans="1:8">
      <c r="A11" t="s">
        <v>13</v>
      </c>
      <c r="B11" s="19">
        <v>22</v>
      </c>
      <c r="C11" s="19">
        <v>20</v>
      </c>
      <c r="D11">
        <v>8</v>
      </c>
      <c r="E11" s="3">
        <f>Students[[#This Row],[Classes Attended]]/Students[[#This Row],[Total Classes]]</f>
        <v>0.90909090909090906</v>
      </c>
      <c r="F11" t="str">
        <f>IF(Students[[#This Row],[Attendance Percentage]]&lt;0.75,"Not Eligible(Below 75%)","Eligible")</f>
        <v>Eligible</v>
      </c>
      <c r="G11" t="str">
        <f>IF(Students[[#This Row],[Skill Score (10)]]&lt;7,"Needs Improvement","Not Needed")</f>
        <v>Not Needed</v>
      </c>
      <c r="H11" t="str">
        <f>IF(AND(Students[[#This Row],[Attendance Percentage]]&lt;0.75,Students[[#This Row],[Skill Score (10)]]&lt;7),"High Risk","OK")</f>
        <v>OK</v>
      </c>
    </row>
    <row r="12" spans="1:8">
      <c r="A12" t="s">
        <v>14</v>
      </c>
      <c r="B12" s="18">
        <v>22</v>
      </c>
      <c r="C12" s="18">
        <v>18</v>
      </c>
      <c r="D12">
        <v>7</v>
      </c>
      <c r="E12" s="3">
        <f>Students[[#This Row],[Classes Attended]]/Students[[#This Row],[Total Classes]]</f>
        <v>0.81818181818181823</v>
      </c>
      <c r="F12" t="str">
        <f>IF(Students[[#This Row],[Attendance Percentage]]&lt;0.75,"Not Eligible(Below 75%)","Eligible")</f>
        <v>Eligible</v>
      </c>
      <c r="G12" t="str">
        <f>IF(Students[[#This Row],[Skill Score (10)]]&lt;7,"Needs Improvement","Not Needed")</f>
        <v>Not Needed</v>
      </c>
      <c r="H12" t="str">
        <f>IF(AND(Students[[#This Row],[Attendance Percentage]]&lt;0.75,Students[[#This Row],[Skill Score (10)]]&lt;7),"High Risk","OK")</f>
        <v>OK</v>
      </c>
    </row>
    <row r="13" spans="1:8">
      <c r="A13" t="s">
        <v>15</v>
      </c>
      <c r="B13" s="19">
        <v>22</v>
      </c>
      <c r="C13" s="19">
        <v>13</v>
      </c>
      <c r="D13">
        <v>4</v>
      </c>
      <c r="E13" s="3">
        <f>Students[[#This Row],[Classes Attended]]/Students[[#This Row],[Total Classes]]</f>
        <v>0.59090909090909094</v>
      </c>
      <c r="F13" t="str">
        <f>IF(Students[[#This Row],[Attendance Percentage]]&lt;0.75,"Not Eligible(Below 75%)","Eligible")</f>
        <v>Not Eligible(Below 75%)</v>
      </c>
      <c r="G13" t="str">
        <f>IF(Students[[#This Row],[Skill Score (10)]]&lt;7,"Needs Improvement","Not Needed")</f>
        <v>Needs Improvement</v>
      </c>
      <c r="H13" t="str">
        <f>IF(AND(Students[[#This Row],[Attendance Percentage]]&lt;0.75,Students[[#This Row],[Skill Score (10)]]&lt;7),"High Risk","OK")</f>
        <v>High Risk</v>
      </c>
    </row>
    <row r="14" spans="1:8">
      <c r="A14" t="s">
        <v>16</v>
      </c>
      <c r="B14" s="18">
        <v>22</v>
      </c>
      <c r="C14" s="18">
        <v>21</v>
      </c>
      <c r="D14">
        <v>9</v>
      </c>
      <c r="E14" s="3">
        <f>Students[[#This Row],[Classes Attended]]/Students[[#This Row],[Total Classes]]</f>
        <v>0.95454545454545459</v>
      </c>
      <c r="F14" t="str">
        <f>IF(Students[[#This Row],[Attendance Percentage]]&lt;0.75,"Not Eligible(Below 75%)","Eligible")</f>
        <v>Eligible</v>
      </c>
      <c r="G14" t="str">
        <f>IF(Students[[#This Row],[Skill Score (10)]]&lt;7,"Needs Improvement","Not Needed")</f>
        <v>Not Needed</v>
      </c>
      <c r="H14" t="str">
        <f>IF(AND(Students[[#This Row],[Attendance Percentage]]&lt;0.75,Students[[#This Row],[Skill Score (10)]]&lt;7),"High Risk","OK")</f>
        <v>OK</v>
      </c>
    </row>
    <row r="15" spans="1:8">
      <c r="A15" t="s">
        <v>17</v>
      </c>
      <c r="B15" s="19">
        <v>22</v>
      </c>
      <c r="C15" s="19">
        <v>16</v>
      </c>
      <c r="D15">
        <v>6</v>
      </c>
      <c r="E15" s="3">
        <f>Students[[#This Row],[Classes Attended]]/Students[[#This Row],[Total Classes]]</f>
        <v>0.72727272727272729</v>
      </c>
      <c r="F15" t="str">
        <f>IF(Students[[#This Row],[Attendance Percentage]]&lt;0.75,"Not Eligible(Below 75%)","Eligible")</f>
        <v>Not Eligible(Below 75%)</v>
      </c>
      <c r="G15" t="str">
        <f>IF(Students[[#This Row],[Skill Score (10)]]&lt;7,"Needs Improvement","Not Needed")</f>
        <v>Needs Improvement</v>
      </c>
      <c r="H15" t="str">
        <f>IF(AND(Students[[#This Row],[Attendance Percentage]]&lt;0.75,Students[[#This Row],[Skill Score (10)]]&lt;7),"High Risk","OK")</f>
        <v>High Risk</v>
      </c>
    </row>
    <row r="16" spans="1:8">
      <c r="A16" t="s">
        <v>18</v>
      </c>
      <c r="B16" s="18">
        <v>22</v>
      </c>
      <c r="C16" s="18">
        <v>19</v>
      </c>
      <c r="D16">
        <v>8</v>
      </c>
      <c r="E16" s="3">
        <f>Students[[#This Row],[Classes Attended]]/Students[[#This Row],[Total Classes]]</f>
        <v>0.86363636363636365</v>
      </c>
      <c r="F16" t="str">
        <f>IF(Students[[#This Row],[Attendance Percentage]]&lt;0.75,"Not Eligible(Below 75%)","Eligible")</f>
        <v>Eligible</v>
      </c>
      <c r="G16" t="str">
        <f>IF(Students[[#This Row],[Skill Score (10)]]&lt;7,"Needs Improvement","Not Needed")</f>
        <v>Not Needed</v>
      </c>
      <c r="H16" t="str">
        <f>IF(AND(Students[[#This Row],[Attendance Percentage]]&lt;0.75,Students[[#This Row],[Skill Score (10)]]&lt;7),"High Risk","OK")</f>
        <v>OK</v>
      </c>
    </row>
    <row r="17" spans="1:8">
      <c r="A17" t="s">
        <v>19</v>
      </c>
      <c r="B17" s="19">
        <v>22</v>
      </c>
      <c r="C17" s="19">
        <v>22</v>
      </c>
      <c r="D17">
        <v>10</v>
      </c>
      <c r="E17" s="3">
        <f>Students[[#This Row],[Classes Attended]]/Students[[#This Row],[Total Classes]]</f>
        <v>1</v>
      </c>
      <c r="F17" t="str">
        <f>IF(Students[[#This Row],[Attendance Percentage]]&lt;0.75,"Not Eligible(Below 75%)","Eligible")</f>
        <v>Eligible</v>
      </c>
      <c r="G17" t="str">
        <f>IF(Students[[#This Row],[Skill Score (10)]]&lt;7,"Needs Improvement","Not Needed")</f>
        <v>Not Needed</v>
      </c>
      <c r="H17" t="str">
        <f>IF(AND(Students[[#This Row],[Attendance Percentage]]&lt;0.75,Students[[#This Row],[Skill Score (10)]]&lt;7),"High Risk","OK")</f>
        <v>OK</v>
      </c>
    </row>
    <row r="18" spans="1:8">
      <c r="A18" t="s">
        <v>20</v>
      </c>
      <c r="B18" s="18">
        <v>22</v>
      </c>
      <c r="C18" s="18">
        <v>12</v>
      </c>
      <c r="D18">
        <v>3</v>
      </c>
      <c r="E18" s="3">
        <f>Students[[#This Row],[Classes Attended]]/Students[[#This Row],[Total Classes]]</f>
        <v>0.54545454545454541</v>
      </c>
      <c r="F18" t="str">
        <f>IF(Students[[#This Row],[Attendance Percentage]]&lt;0.75,"Not Eligible(Below 75%)","Eligible")</f>
        <v>Not Eligible(Below 75%)</v>
      </c>
      <c r="G18" t="str">
        <f>IF(Students[[#This Row],[Skill Score (10)]]&lt;7,"Needs Improvement","Not Needed")</f>
        <v>Needs Improvement</v>
      </c>
      <c r="H18" t="str">
        <f>IF(AND(Students[[#This Row],[Attendance Percentage]]&lt;0.75,Students[[#This Row],[Skill Score (10)]]&lt;7),"High Risk","OK")</f>
        <v>High Risk</v>
      </c>
    </row>
    <row r="19" spans="1:8">
      <c r="A19" t="s">
        <v>21</v>
      </c>
      <c r="B19" s="19">
        <v>22</v>
      </c>
      <c r="C19" s="19">
        <v>17</v>
      </c>
      <c r="D19">
        <v>7</v>
      </c>
      <c r="E19" s="3">
        <f>Students[[#This Row],[Classes Attended]]/Students[[#This Row],[Total Classes]]</f>
        <v>0.77272727272727271</v>
      </c>
      <c r="F19" t="str">
        <f>IF(Students[[#This Row],[Attendance Percentage]]&lt;0.75,"Not Eligible(Below 75%)","Eligible")</f>
        <v>Eligible</v>
      </c>
      <c r="G19" t="str">
        <f>IF(Students[[#This Row],[Skill Score (10)]]&lt;7,"Needs Improvement","Not Needed")</f>
        <v>Not Needed</v>
      </c>
      <c r="H19" t="str">
        <f>IF(AND(Students[[#This Row],[Attendance Percentage]]&lt;0.75,Students[[#This Row],[Skill Score (10)]]&lt;7),"High Risk","OK")</f>
        <v>OK</v>
      </c>
    </row>
    <row r="20" spans="1:8">
      <c r="A20" t="s">
        <v>22</v>
      </c>
      <c r="B20" s="18">
        <v>22</v>
      </c>
      <c r="C20" s="18">
        <v>18</v>
      </c>
      <c r="D20">
        <v>8</v>
      </c>
      <c r="E20" s="3">
        <f>Students[[#This Row],[Classes Attended]]/Students[[#This Row],[Total Classes]]</f>
        <v>0.81818181818181823</v>
      </c>
      <c r="F20" t="str">
        <f>IF(Students[[#This Row],[Attendance Percentage]]&lt;0.75,"Not Eligible(Below 75%)","Eligible")</f>
        <v>Eligible</v>
      </c>
      <c r="G20" t="str">
        <f>IF(Students[[#This Row],[Skill Score (10)]]&lt;7,"Needs Improvement","Not Needed")</f>
        <v>Not Needed</v>
      </c>
      <c r="H20" t="str">
        <f>IF(AND(Students[[#This Row],[Attendance Percentage]]&lt;0.75,Students[[#This Row],[Skill Score (10)]]&lt;7),"High Risk","OK")</f>
        <v>OK</v>
      </c>
    </row>
    <row r="21" spans="1:8">
      <c r="A21" t="s">
        <v>23</v>
      </c>
      <c r="B21" s="19">
        <v>22</v>
      </c>
      <c r="C21" s="19">
        <v>12</v>
      </c>
      <c r="D21">
        <v>5</v>
      </c>
      <c r="E21" s="3">
        <f>Students[[#This Row],[Classes Attended]]/Students[[#This Row],[Total Classes]]</f>
        <v>0.54545454545454541</v>
      </c>
      <c r="F21" t="str">
        <f>IF(Students[[#This Row],[Attendance Percentage]]&lt;0.75,"Not Eligible(Below 75%)","Eligible")</f>
        <v>Not Eligible(Below 75%)</v>
      </c>
      <c r="G21" t="str">
        <f>IF(Students[[#This Row],[Skill Score (10)]]&lt;7,"Needs Improvement","Not Needed")</f>
        <v>Needs Improvement</v>
      </c>
      <c r="H21" t="str">
        <f>IF(AND(Students[[#This Row],[Attendance Percentage]]&lt;0.75,Students[[#This Row],[Skill Score (10)]]&lt;7),"High Risk","OK")</f>
        <v>High Risk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A89AF8A-A609-4CC1-9480-669D58FE1985}">
            <xm:f>NOT(ISERROR(SEARCH($H$3,H1)))</xm:f>
            <xm:f>$H$3</xm:f>
            <x14:dxf>
              <font>
                <b/>
                <i val="0"/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7378-F186-42A8-BD75-F68C6BF95F05}">
  <dimension ref="A1:D20"/>
  <sheetViews>
    <sheetView workbookViewId="0">
      <selection activeCell="B22" sqref="B22"/>
    </sheetView>
  </sheetViews>
  <sheetFormatPr defaultRowHeight="15"/>
  <cols>
    <col min="1" max="1" width="122.85546875" style="9" customWidth="1"/>
    <col min="2" max="2" width="19" customWidth="1"/>
    <col min="3" max="3" width="21.140625" customWidth="1"/>
    <col min="4" max="4" width="15.7109375" customWidth="1"/>
  </cols>
  <sheetData>
    <row r="1" spans="1:4" ht="26.25">
      <c r="A1" s="6" t="s">
        <v>28</v>
      </c>
      <c r="B1" s="2"/>
      <c r="C1" s="2"/>
      <c r="D1" s="2"/>
    </row>
    <row r="2" spans="1:4" ht="16.5">
      <c r="A2" s="7" t="s">
        <v>29</v>
      </c>
    </row>
    <row r="3" spans="1:4">
      <c r="A3" s="9" t="s">
        <v>30</v>
      </c>
    </row>
    <row r="4" spans="1:4" ht="20.25">
      <c r="A4" s="8" t="s">
        <v>31</v>
      </c>
    </row>
    <row r="5" spans="1:4">
      <c r="A5" s="9" t="s">
        <v>32</v>
      </c>
    </row>
    <row r="6" spans="1:4">
      <c r="A6" s="9" t="s">
        <v>33</v>
      </c>
    </row>
    <row r="7" spans="1:4">
      <c r="A7" s="9" t="s">
        <v>34</v>
      </c>
    </row>
    <row r="8" spans="1:4">
      <c r="A8" s="9" t="s">
        <v>35</v>
      </c>
    </row>
    <row r="9" spans="1:4" ht="20.25">
      <c r="A9" s="8" t="s">
        <v>36</v>
      </c>
    </row>
    <row r="10" spans="1:4">
      <c r="A10" s="9" t="s">
        <v>37</v>
      </c>
    </row>
    <row r="11" spans="1:4">
      <c r="A11" s="9" t="s">
        <v>38</v>
      </c>
    </row>
    <row r="12" spans="1:4">
      <c r="A12" s="9" t="s">
        <v>39</v>
      </c>
    </row>
    <row r="13" spans="1:4" ht="20.25">
      <c r="A13" s="8" t="s">
        <v>40</v>
      </c>
    </row>
    <row r="14" spans="1:4">
      <c r="A14" s="9" t="s">
        <v>41</v>
      </c>
    </row>
    <row r="15" spans="1:4" ht="30.75">
      <c r="A15" s="9" t="s">
        <v>42</v>
      </c>
    </row>
    <row r="16" spans="1:4" ht="20.25">
      <c r="A16" s="8" t="s">
        <v>43</v>
      </c>
    </row>
    <row r="17" spans="1:1" ht="33">
      <c r="A17" s="5" t="s">
        <v>44</v>
      </c>
    </row>
    <row r="19" spans="1:1" ht="20.25">
      <c r="A19" s="8" t="s">
        <v>45</v>
      </c>
    </row>
    <row r="20" spans="1:1" ht="33">
      <c r="A20" s="10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FF22-3679-4F25-8C6E-5A7B553CA294}">
  <dimension ref="A1:E37"/>
  <sheetViews>
    <sheetView workbookViewId="0">
      <selection activeCell="H3" sqref="H3"/>
    </sheetView>
  </sheetViews>
  <sheetFormatPr defaultRowHeight="15"/>
  <cols>
    <col min="1" max="1" width="39.140625" customWidth="1"/>
    <col min="2" max="2" width="46.7109375" customWidth="1"/>
    <col min="4" max="4" width="19" customWidth="1"/>
  </cols>
  <sheetData>
    <row r="1" spans="1:5" ht="21">
      <c r="A1" s="11" t="s">
        <v>47</v>
      </c>
      <c r="B1" s="11"/>
      <c r="E1" s="12"/>
    </row>
    <row r="2" spans="1:5" ht="15.75">
      <c r="A2" s="12"/>
      <c r="B2" s="12"/>
      <c r="D2" s="13" t="s">
        <v>48</v>
      </c>
    </row>
    <row r="3" spans="1:5">
      <c r="A3" s="14" t="s">
        <v>49</v>
      </c>
      <c r="B3" s="14" t="s">
        <v>50</v>
      </c>
      <c r="D3" s="17" t="s">
        <v>51</v>
      </c>
      <c r="E3" s="17" t="s">
        <v>52</v>
      </c>
    </row>
    <row r="4" spans="1:5">
      <c r="A4" s="15" t="s">
        <v>53</v>
      </c>
      <c r="B4" s="15">
        <f>ROWS(Students[Student Name])</f>
        <v>20</v>
      </c>
      <c r="D4" s="15" t="s">
        <v>54</v>
      </c>
      <c r="E4" s="16">
        <f>AVERAGE(Students[Attendance Percentage])</f>
        <v>0.80454545454545445</v>
      </c>
    </row>
    <row r="5" spans="1:5">
      <c r="A5" s="15" t="s">
        <v>55</v>
      </c>
      <c r="B5" s="15">
        <f>COUNTIF(Students[Attendance Status],"Eligible")</f>
        <v>13</v>
      </c>
      <c r="D5" s="15" t="s">
        <v>56</v>
      </c>
      <c r="E5" s="16">
        <v>0.5</v>
      </c>
    </row>
    <row r="6" spans="1:5">
      <c r="A6" s="15" t="s">
        <v>57</v>
      </c>
      <c r="B6" s="15">
        <f>COUNTIF(Students[Attendance Status],"Not Eligible(Below 75%)")</f>
        <v>7</v>
      </c>
      <c r="D6" s="15" t="s">
        <v>58</v>
      </c>
      <c r="E6" s="16">
        <v>1</v>
      </c>
    </row>
    <row r="7" spans="1:5">
      <c r="A7" s="15" t="s">
        <v>59</v>
      </c>
      <c r="B7" s="15">
        <f>COUNTIF(Students[Skill Improvement],"Needs Improvement")</f>
        <v>7</v>
      </c>
      <c r="D7" s="15" t="s">
        <v>60</v>
      </c>
      <c r="E7" s="15">
        <f>AVERAGE(Students[Skill Score (10)])</f>
        <v>7.05</v>
      </c>
    </row>
    <row r="8" spans="1:5">
      <c r="A8" s="15" t="s">
        <v>61</v>
      </c>
      <c r="B8" s="15">
        <f>COUNTIF(Students[Performance Status],"High Risk")</f>
        <v>7</v>
      </c>
      <c r="D8" s="15" t="s">
        <v>62</v>
      </c>
      <c r="E8" s="15">
        <v>3</v>
      </c>
    </row>
    <row r="9" spans="1:5">
      <c r="A9" s="12"/>
      <c r="B9" s="12"/>
      <c r="D9" s="15" t="s">
        <v>63</v>
      </c>
      <c r="E9" s="15">
        <v>10</v>
      </c>
    </row>
    <row r="10" spans="1:5">
      <c r="A10" s="12"/>
      <c r="B10" s="12"/>
    </row>
    <row r="19" spans="1:5">
      <c r="A19" s="12"/>
      <c r="B19" s="12"/>
    </row>
    <row r="20" spans="1:5">
      <c r="A20" s="12"/>
      <c r="B20" s="12"/>
    </row>
    <row r="21" spans="1:5">
      <c r="A21" s="12"/>
      <c r="B21" s="12"/>
    </row>
    <row r="22" spans="1:5">
      <c r="A22" s="12"/>
      <c r="B22" s="12"/>
    </row>
    <row r="31" spans="1:5" ht="21">
      <c r="A31" s="20" t="s">
        <v>64</v>
      </c>
      <c r="B31" s="21"/>
      <c r="C31" s="26"/>
      <c r="D31" s="26"/>
      <c r="E31" s="26"/>
    </row>
    <row r="32" spans="1:5" ht="20.25" customHeight="1">
      <c r="A32" s="22" t="s">
        <v>45</v>
      </c>
      <c r="B32" s="23"/>
      <c r="C32" s="27"/>
      <c r="D32" s="27"/>
      <c r="E32" s="27"/>
    </row>
    <row r="33" spans="1:5" ht="49.5" customHeight="1">
      <c r="A33" s="24" t="s">
        <v>46</v>
      </c>
      <c r="B33" s="25"/>
      <c r="C33" s="28"/>
      <c r="D33" s="28"/>
      <c r="E33" s="28"/>
    </row>
    <row r="34" spans="1:5">
      <c r="A34" s="9"/>
    </row>
    <row r="37" spans="1:5">
      <c r="A37" s="9"/>
    </row>
  </sheetData>
  <mergeCells count="6">
    <mergeCell ref="A31:B31"/>
    <mergeCell ref="A32:B32"/>
    <mergeCell ref="A33:B33"/>
    <mergeCell ref="C31:E31"/>
    <mergeCell ref="C32:E32"/>
    <mergeCell ref="C33:E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Bharti Verma</cp:lastModifiedBy>
  <cp:revision/>
  <dcterms:created xsi:type="dcterms:W3CDTF">2026-02-23T09:41:59Z</dcterms:created>
  <dcterms:modified xsi:type="dcterms:W3CDTF">2026-02-24T07:00:17Z</dcterms:modified>
  <cp:category/>
  <cp:contentStatus/>
</cp:coreProperties>
</file>